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huan\thesis\Multi-Agent-Deep-Reinforcement-Learning-on-Multi-Echelon-Inventory-Management\"/>
    </mc:Choice>
  </mc:AlternateContent>
  <xr:revisionPtr revIDLastSave="0" documentId="13_ncr:1_{8A7230E9-14D1-4D77-9529-F2E98E2911F5}" xr6:coauthVersionLast="47" xr6:coauthVersionMax="47" xr10:uidLastSave="{00000000-0000-0000-0000-000000000000}"/>
  <bookViews>
    <workbookView xWindow="-110" yWindow="-110" windowWidth="19420" windowHeight="11500" xr2:uid="{64E1AFF3-9B41-4BCE-B2D8-B156AE81FF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5" i="1" l="1"/>
  <c r="P6" i="1"/>
  <c r="P5" i="1"/>
  <c r="P4" i="1"/>
  <c r="K6" i="1"/>
  <c r="K4" i="1"/>
  <c r="F5" i="1"/>
  <c r="F6" i="1"/>
  <c r="F4" i="1"/>
</calcChain>
</file>

<file path=xl/sharedStrings.xml><?xml version="1.0" encoding="utf-8"?>
<sst xmlns="http://schemas.openxmlformats.org/spreadsheetml/2006/main" count="21" uniqueCount="8">
  <si>
    <t>total cost</t>
  </si>
  <si>
    <t>MILP</t>
  </si>
  <si>
    <t>GNN</t>
  </si>
  <si>
    <t>30 days</t>
  </si>
  <si>
    <t>60 days</t>
  </si>
  <si>
    <t>90 days</t>
  </si>
  <si>
    <t>gap</t>
  </si>
  <si>
    <t>fill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</si>
</sst>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0" fontId="0" fillId="0" borderId="0" xfId="1" applyNumberFormat="1" applyFont="1"/>
    <xf numFmtId="9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91B6D-C3B7-409A-929F-8D8CA599A33D}">
  <dimension ref="C2:P6"/>
  <sheetViews>
    <sheetView tabSelected="1" workbookViewId="0">
      <selection activeCell="P6" sqref="P6"/>
    </sheetView>
  </sheetViews>
  <sheetFormatPr defaultRowHeight="14.5" x14ac:dyDescent="0.35"/>
  <sheetData>
    <row r="2" spans="3:16" x14ac:dyDescent="0.35">
      <c r="D2" t="s">
        <v>0</v>
      </c>
      <c r="I2" t="s">
        <v>7</v>
      </c>
      <c r="N2" t="s">
        <v>7</v>
      </c>
    </row>
    <row r="3" spans="3:16" x14ac:dyDescent="0.35">
      <c r="D3" t="s">
        <v>1</v>
      </c>
      <c r="E3" t="s">
        <v>2</v>
      </c>
      <c r="F3" t="s">
        <v>6</v>
      </c>
      <c r="I3" t="s">
        <v>1</v>
      </c>
      <c r="J3" t="s">
        <v>2</v>
      </c>
      <c r="K3" t="s">
        <v>6</v>
      </c>
      <c r="N3" t="s">
        <v>1</v>
      </c>
      <c r="O3" t="s">
        <v>2</v>
      </c>
      <c r="P3" t="s">
        <v>6</v>
      </c>
    </row>
    <row r="4" spans="3:16" x14ac:dyDescent="0.35">
      <c r="C4" t="s">
        <v>3</v>
      </c>
      <c r="D4">
        <v>29.38</v>
      </c>
      <c r="E4">
        <v>30.86</v>
      </c>
      <c r="F4" s="1">
        <f>(E4-D4)/E4</f>
        <v>4.7958522359040842E-2</v>
      </c>
      <c r="H4" t="s">
        <v>3</v>
      </c>
      <c r="I4">
        <v>100</v>
      </c>
      <c r="J4">
        <v>100</v>
      </c>
      <c r="K4" s="1">
        <f>-(J4-I4)/J4</f>
        <v>0</v>
      </c>
      <c r="M4" t="s">
        <v>3</v>
      </c>
      <c r="N4">
        <v>68</v>
      </c>
      <c r="O4">
        <v>5</v>
      </c>
      <c r="P4" s="2">
        <f>-(O4-N4)/O4</f>
        <v>12.6</v>
      </c>
    </row>
    <row r="5" spans="3:16" x14ac:dyDescent="0.35">
      <c r="C5" t="s">
        <v>4</v>
      </c>
      <c r="D5">
        <v>117.2</v>
      </c>
      <c r="E5">
        <v>124.343</v>
      </c>
      <c r="F5" s="1">
        <f t="shared" ref="F5:F6" si="0">(E5-D5)/E5</f>
        <v>5.7445935838768572E-2</v>
      </c>
      <c r="H5" t="s">
        <v>4</v>
      </c>
      <c r="I5">
        <v>100</v>
      </c>
      <c r="J5">
        <v>97.8</v>
      </c>
      <c r="K5" s="1">
        <f>-(J5-I5)/J5</f>
        <v>2.2494887525562401E-2</v>
      </c>
      <c r="M5" t="s">
        <v>4</v>
      </c>
      <c r="N5">
        <v>178</v>
      </c>
      <c r="O5">
        <v>9</v>
      </c>
      <c r="P5" s="2">
        <f t="shared" ref="P5:P6" si="1">-(O5-N5)/O5</f>
        <v>18.777777777777779</v>
      </c>
    </row>
    <row r="6" spans="3:16" x14ac:dyDescent="0.35">
      <c r="C6" t="s">
        <v>5</v>
      </c>
      <c r="D6">
        <v>199.38</v>
      </c>
      <c r="E6">
        <v>212.10599999999999</v>
      </c>
      <c r="F6" s="1">
        <f t="shared" si="0"/>
        <v>5.9998302735424738E-2</v>
      </c>
      <c r="H6" t="s">
        <v>5</v>
      </c>
      <c r="I6">
        <v>100</v>
      </c>
      <c r="J6">
        <v>93.326980000000006</v>
      </c>
      <c r="K6" s="1">
        <f t="shared" ref="K5:K6" si="2">-(J6-I6)/J6</f>
        <v>7.150151006707807E-2</v>
      </c>
      <c r="M6" t="s">
        <v>5</v>
      </c>
      <c r="N6">
        <v>320</v>
      </c>
      <c r="O6">
        <v>12</v>
      </c>
      <c r="P6" s="2">
        <f t="shared" si="1"/>
        <v>25.666666666666668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DUC THUAN</dc:creator>
  <cp:lastModifiedBy>VU DUC THUAN</cp:lastModifiedBy>
  <dcterms:created xsi:type="dcterms:W3CDTF">2026-05-30T13:18:46Z</dcterms:created>
  <dcterms:modified xsi:type="dcterms:W3CDTF">2026-05-30T14:23:04Z</dcterms:modified>
</cp:coreProperties>
</file>