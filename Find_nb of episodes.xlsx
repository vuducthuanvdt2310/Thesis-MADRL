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uan\thesis\Multi-Agent-Deep-Reinforcement-Learning-on-Multi-Echelon-Inventory-Management\"/>
    </mc:Choice>
  </mc:AlternateContent>
  <xr:revisionPtr revIDLastSave="0" documentId="13_ncr:1_{F6EF449E-437E-45F2-B11E-17C1608A255C}" xr6:coauthVersionLast="47" xr6:coauthVersionMax="47" xr10:uidLastSave="{00000000-0000-0000-0000-000000000000}"/>
  <bookViews>
    <workbookView xWindow="-110" yWindow="-110" windowWidth="19420" windowHeight="11500" xr2:uid="{1F5C3C70-5B3F-4407-A7F3-F620435FD8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4" i="1" l="1"/>
  <c r="E14" i="1"/>
  <c r="H18" i="1"/>
  <c r="E15" i="1"/>
  <c r="C15" i="1"/>
  <c r="C24" i="1" l="1"/>
  <c r="E28" i="1" s="1"/>
  <c r="C25" i="1"/>
</calcChain>
</file>

<file path=xl/sharedStrings.xml><?xml version="1.0" encoding="utf-8"?>
<sst xmlns="http://schemas.openxmlformats.org/spreadsheetml/2006/main" count="24" uniqueCount="19">
  <si>
    <t>GNN</t>
  </si>
  <si>
    <t>HAPPO</t>
  </si>
  <si>
    <t>Episode_Index</t>
  </si>
  <si>
    <t>Total_Cost</t>
  </si>
  <si>
    <t>GNN vs HAPPO</t>
  </si>
  <si>
    <t>std</t>
  </si>
  <si>
    <t>mean</t>
  </si>
  <si>
    <t>STD D</t>
  </si>
  <si>
    <t>Epsilon</t>
  </si>
  <si>
    <t>Alpha</t>
  </si>
  <si>
    <t>Beta</t>
  </si>
  <si>
    <t xml:space="preserve">delta </t>
  </si>
  <si>
    <t>Formula used (one-tailed power-of-test):</t>
  </si>
  <si>
    <t xml:space="preserve">      n = ⌈ ((Z_α + Z_β) · S_D / ε)² ⌉</t>
  </si>
  <si>
    <t>=&gt;</t>
  </si>
  <si>
    <t>Zalpha</t>
  </si>
  <si>
    <t>Z beta</t>
  </si>
  <si>
    <t>The number of episoded need should be &gt; n</t>
  </si>
  <si>
    <t>=&gt; minimum 54 episodes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</si>
</sst>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BABB2-B80F-49C7-A947-1DF048934BD9}">
  <dimension ref="B1:H31"/>
  <sheetViews>
    <sheetView tabSelected="1" workbookViewId="0">
      <selection activeCell="P14" sqref="P14"/>
    </sheetView>
  </sheetViews>
  <sheetFormatPr defaultRowHeight="14.5" x14ac:dyDescent="0.35"/>
  <cols>
    <col min="4" max="4" width="8.7265625" customWidth="1"/>
    <col min="5" max="5" width="14" customWidth="1"/>
  </cols>
  <sheetData>
    <row r="1" spans="2:5" x14ac:dyDescent="0.35">
      <c r="B1" t="s">
        <v>0</v>
      </c>
      <c r="D1" t="s">
        <v>1</v>
      </c>
    </row>
    <row r="2" spans="2:5" x14ac:dyDescent="0.35">
      <c r="B2" t="s">
        <v>2</v>
      </c>
      <c r="C2" t="s">
        <v>3</v>
      </c>
      <c r="D2" t="s">
        <v>2</v>
      </c>
      <c r="E2" t="s">
        <v>3</v>
      </c>
    </row>
    <row r="3" spans="2:5" x14ac:dyDescent="0.35">
      <c r="B3">
        <v>1</v>
      </c>
      <c r="C3">
        <v>254368.3762</v>
      </c>
      <c r="D3">
        <v>1</v>
      </c>
      <c r="E3">
        <v>280530.84419999999</v>
      </c>
    </row>
    <row r="4" spans="2:5" x14ac:dyDescent="0.35">
      <c r="B4">
        <v>2</v>
      </c>
      <c r="C4">
        <v>228258.1109</v>
      </c>
      <c r="D4">
        <v>2</v>
      </c>
      <c r="E4">
        <v>272483.02340000001</v>
      </c>
    </row>
    <row r="5" spans="2:5" x14ac:dyDescent="0.35">
      <c r="B5">
        <v>3</v>
      </c>
      <c r="C5">
        <v>238387.24129999999</v>
      </c>
      <c r="D5">
        <v>3</v>
      </c>
      <c r="E5">
        <v>273951.65889999998</v>
      </c>
    </row>
    <row r="6" spans="2:5" x14ac:dyDescent="0.35">
      <c r="B6">
        <v>4</v>
      </c>
      <c r="C6">
        <v>229607.8113</v>
      </c>
      <c r="D6">
        <v>4</v>
      </c>
      <c r="E6">
        <v>268698.5013</v>
      </c>
    </row>
    <row r="7" spans="2:5" x14ac:dyDescent="0.35">
      <c r="B7">
        <v>5</v>
      </c>
      <c r="C7">
        <v>259518.9179</v>
      </c>
      <c r="D7">
        <v>5</v>
      </c>
      <c r="E7">
        <v>277661.93440000003</v>
      </c>
    </row>
    <row r="8" spans="2:5" x14ac:dyDescent="0.35">
      <c r="B8">
        <v>6</v>
      </c>
      <c r="C8">
        <v>245874.31479999999</v>
      </c>
      <c r="D8">
        <v>6</v>
      </c>
      <c r="E8">
        <v>262050.02729999999</v>
      </c>
    </row>
    <row r="9" spans="2:5" x14ac:dyDescent="0.35">
      <c r="B9">
        <v>7</v>
      </c>
      <c r="C9">
        <v>262665.2268</v>
      </c>
      <c r="D9">
        <v>7</v>
      </c>
      <c r="E9">
        <v>272079.41769999999</v>
      </c>
    </row>
    <row r="10" spans="2:5" x14ac:dyDescent="0.35">
      <c r="B10">
        <v>8</v>
      </c>
      <c r="C10">
        <v>242719.8235</v>
      </c>
      <c r="D10">
        <v>8</v>
      </c>
      <c r="E10">
        <v>279645.74890000001</v>
      </c>
    </row>
    <row r="11" spans="2:5" x14ac:dyDescent="0.35">
      <c r="B11">
        <v>9</v>
      </c>
      <c r="C11">
        <v>234293.00750000001</v>
      </c>
      <c r="D11">
        <v>9</v>
      </c>
      <c r="E11">
        <v>273184.2218</v>
      </c>
    </row>
    <row r="12" spans="2:5" x14ac:dyDescent="0.35">
      <c r="B12">
        <v>10</v>
      </c>
      <c r="C12">
        <v>243996.0833</v>
      </c>
      <c r="D12">
        <v>10</v>
      </c>
      <c r="E12">
        <v>269618.06</v>
      </c>
    </row>
    <row r="14" spans="2:5" x14ac:dyDescent="0.35">
      <c r="B14" t="s">
        <v>5</v>
      </c>
      <c r="C14">
        <f>_xlfn.STDEV.P(C3:C12)</f>
        <v>11324.945503797515</v>
      </c>
      <c r="D14" t="s">
        <v>5</v>
      </c>
      <c r="E14">
        <f>_xlfn.STDEV.P(E3:E12)</f>
        <v>5239.3600086511069</v>
      </c>
    </row>
    <row r="15" spans="2:5" x14ac:dyDescent="0.35">
      <c r="B15" t="s">
        <v>6</v>
      </c>
      <c r="C15">
        <f>AVERAGE(C3:C12)</f>
        <v>243968.89135000002</v>
      </c>
      <c r="D15" t="s">
        <v>6</v>
      </c>
      <c r="E15">
        <f>AVERAGE(E3:E12)</f>
        <v>272990.34378999996</v>
      </c>
    </row>
    <row r="17" spans="2:8" x14ac:dyDescent="0.35">
      <c r="B17" t="s">
        <v>8</v>
      </c>
      <c r="C17">
        <v>5000</v>
      </c>
    </row>
    <row r="18" spans="2:8" x14ac:dyDescent="0.35">
      <c r="B18" t="s">
        <v>9</v>
      </c>
      <c r="C18">
        <v>0.05</v>
      </c>
      <c r="D18" s="1" t="s">
        <v>14</v>
      </c>
      <c r="E18" t="s">
        <v>15</v>
      </c>
      <c r="F18" s="2">
        <v>1.6449</v>
      </c>
      <c r="H18">
        <f>F18+F19</f>
        <v>2.9267000000000003</v>
      </c>
    </row>
    <row r="19" spans="2:8" x14ac:dyDescent="0.35">
      <c r="B19" t="s">
        <v>10</v>
      </c>
      <c r="C19">
        <v>0.1</v>
      </c>
      <c r="D19" s="1" t="s">
        <v>14</v>
      </c>
      <c r="E19" t="s">
        <v>16</v>
      </c>
      <c r="F19" s="2">
        <v>1.2818000000000001</v>
      </c>
    </row>
    <row r="23" spans="2:8" x14ac:dyDescent="0.35">
      <c r="B23" t="s">
        <v>4</v>
      </c>
    </row>
    <row r="24" spans="2:8" x14ac:dyDescent="0.35">
      <c r="B24" t="s">
        <v>7</v>
      </c>
      <c r="C24">
        <f>SQRT(C14^2+E14^2)</f>
        <v>12478.192335600381</v>
      </c>
    </row>
    <row r="25" spans="2:8" x14ac:dyDescent="0.35">
      <c r="B25" t="s">
        <v>11</v>
      </c>
      <c r="C25">
        <f>C17/C24</f>
        <v>0.40069906485853407</v>
      </c>
    </row>
    <row r="27" spans="2:8" x14ac:dyDescent="0.35">
      <c r="B27" t="s">
        <v>12</v>
      </c>
    </row>
    <row r="28" spans="2:8" x14ac:dyDescent="0.35">
      <c r="B28" t="s">
        <v>13</v>
      </c>
      <c r="E28" s="2">
        <f>((F18+F19)*C24/C17)^2</f>
        <v>53.348198366152509</v>
      </c>
    </row>
    <row r="30" spans="2:8" x14ac:dyDescent="0.35">
      <c r="B30" t="s">
        <v>17</v>
      </c>
    </row>
    <row r="31" spans="2:8" x14ac:dyDescent="0.35">
      <c r="B3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DUC THUAN</dc:creator>
  <cp:lastModifiedBy>VU DUC THUAN</cp:lastModifiedBy>
  <dcterms:created xsi:type="dcterms:W3CDTF">2026-04-28T07:38:42Z</dcterms:created>
  <dcterms:modified xsi:type="dcterms:W3CDTF">2026-04-28T07:59:24Z</dcterms:modified>
</cp:coreProperties>
</file>